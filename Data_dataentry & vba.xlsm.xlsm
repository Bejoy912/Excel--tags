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joy\Desktop\OSD Assignment\Assignment 181-16-254\"/>
    </mc:Choice>
  </mc:AlternateContent>
  <bookViews>
    <workbookView xWindow="0" yWindow="0" windowWidth="20490" windowHeight="7620" activeTab="1"/>
  </bookViews>
  <sheets>
    <sheet name="Sheet1" sheetId="1" r:id="rId1"/>
    <sheet name="Sheet2" sheetId="2" r:id="rId2"/>
    <sheet name="Sheet3" sheetId="3" r:id="rId3"/>
  </sheets>
  <definedNames>
    <definedName name="Batch">Sheet3!$F$1:$F$14</definedName>
    <definedName name="Group">Sheet3!$D$1:$D$9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J6" i="1" l="1"/>
  <c r="F6" i="1"/>
  <c r="K6" i="1" l="1"/>
  <c r="G6" i="1"/>
  <c r="H6" i="1" s="1"/>
</calcChain>
</file>

<file path=xl/sharedStrings.xml><?xml version="1.0" encoding="utf-8"?>
<sst xmlns="http://schemas.openxmlformats.org/spreadsheetml/2006/main" count="134" uniqueCount="112">
  <si>
    <t>SALES DATA REPORT</t>
  </si>
  <si>
    <t>BRAND</t>
  </si>
  <si>
    <t>ITEM</t>
  </si>
  <si>
    <t>QUANTITY</t>
  </si>
  <si>
    <t>ITEM
CODE</t>
  </si>
  <si>
    <t>PURCHASE
RATE</t>
  </si>
  <si>
    <t>PURCHASE
AMOUNT</t>
  </si>
  <si>
    <t>SALE
RATE</t>
  </si>
  <si>
    <t>SALE
AMOUNT</t>
  </si>
  <si>
    <t>PROFIT/
LOSS</t>
  </si>
  <si>
    <t>SWIM010</t>
  </si>
  <si>
    <t>SWIM011</t>
  </si>
  <si>
    <t>SWIM012</t>
  </si>
  <si>
    <t>SWIM013</t>
  </si>
  <si>
    <t>SWIM014</t>
  </si>
  <si>
    <t>SWIM015</t>
  </si>
  <si>
    <t>SWIM016</t>
  </si>
  <si>
    <t>SWIM017</t>
  </si>
  <si>
    <t>SWIM018</t>
  </si>
  <si>
    <t>SWIM019</t>
  </si>
  <si>
    <t>SWIM020</t>
  </si>
  <si>
    <t>SWIM021</t>
  </si>
  <si>
    <t>SWIM022</t>
  </si>
  <si>
    <t>SWIM023</t>
  </si>
  <si>
    <t>SWIM024</t>
  </si>
  <si>
    <t>SWIM025</t>
  </si>
  <si>
    <t>SWIM026</t>
  </si>
  <si>
    <t>SWIM027</t>
  </si>
  <si>
    <t>SWIM028</t>
  </si>
  <si>
    <t>SWIM029</t>
  </si>
  <si>
    <t>SWIM030</t>
  </si>
  <si>
    <t>SWIM031</t>
  </si>
  <si>
    <t>SWIM032</t>
  </si>
  <si>
    <t>SWIM033</t>
  </si>
  <si>
    <t>SWIM034</t>
  </si>
  <si>
    <t>SWIM035</t>
  </si>
  <si>
    <t>SWIM036</t>
  </si>
  <si>
    <t>Swimwear</t>
  </si>
  <si>
    <t>Googles</t>
  </si>
  <si>
    <t>Towel</t>
  </si>
  <si>
    <t>Toiletris</t>
  </si>
  <si>
    <t>Hairbrush</t>
  </si>
  <si>
    <t>Swimming cap</t>
  </si>
  <si>
    <t>Ear protection</t>
  </si>
  <si>
    <t>Nose protection</t>
  </si>
  <si>
    <t>Footwear</t>
  </si>
  <si>
    <t>Stopwatch</t>
  </si>
  <si>
    <t>See saw water rocker</t>
  </si>
  <si>
    <t>Float a bout cooler</t>
  </si>
  <si>
    <t>Floating aqua table</t>
  </si>
  <si>
    <t>Super slide pool toy</t>
  </si>
  <si>
    <t>Diving pool toy</t>
  </si>
  <si>
    <t>Baby's float with canopy</t>
  </si>
  <si>
    <t>LED glow balls</t>
  </si>
  <si>
    <t>Webbed fingers gloves</t>
  </si>
  <si>
    <t>Gaint lamingo pool float</t>
  </si>
  <si>
    <t>Pool volleball</t>
  </si>
  <si>
    <t>Pillowtop pool float</t>
  </si>
  <si>
    <t>Swim safe baby seat</t>
  </si>
  <si>
    <t>Life saving rod</t>
  </si>
  <si>
    <t>Life saving jacket</t>
  </si>
  <si>
    <t>Baby seat car</t>
  </si>
  <si>
    <t>Orca</t>
  </si>
  <si>
    <t>Aqua sphere</t>
  </si>
  <si>
    <t>Speedo</t>
  </si>
  <si>
    <t>Zoggs</t>
  </si>
  <si>
    <t>2XU</t>
  </si>
  <si>
    <t>Maru</t>
  </si>
  <si>
    <t>TYR</t>
  </si>
  <si>
    <t>Adidas</t>
  </si>
  <si>
    <t>DISCOUNT
10%</t>
  </si>
  <si>
    <t>TAX
17%</t>
  </si>
  <si>
    <t>Name</t>
  </si>
  <si>
    <t>Father's Name</t>
  </si>
  <si>
    <t>Mother's Name</t>
  </si>
  <si>
    <t>Gender</t>
  </si>
  <si>
    <t>Height</t>
  </si>
  <si>
    <t>Blood Group</t>
  </si>
  <si>
    <t>Present Address</t>
  </si>
  <si>
    <t>Parmanent Address</t>
  </si>
  <si>
    <t>Phone NO.</t>
  </si>
  <si>
    <t>Email</t>
  </si>
  <si>
    <t>Occupation</t>
  </si>
  <si>
    <t>Preferred Batch</t>
  </si>
  <si>
    <t>Date of Joining</t>
  </si>
  <si>
    <t>Age</t>
  </si>
  <si>
    <t>Male</t>
  </si>
  <si>
    <t>Female</t>
  </si>
  <si>
    <t>A+</t>
  </si>
  <si>
    <t>A-</t>
  </si>
  <si>
    <t>O+</t>
  </si>
  <si>
    <t>O-</t>
  </si>
  <si>
    <t>AB+</t>
  </si>
  <si>
    <t>AB-</t>
  </si>
  <si>
    <t>B+</t>
  </si>
  <si>
    <t>B-</t>
  </si>
  <si>
    <t>A (06.00-06.45)</t>
  </si>
  <si>
    <t>B (06.45-07.30)</t>
  </si>
  <si>
    <t>C (07.30-08.15)</t>
  </si>
  <si>
    <t>D (15.15-16.00)</t>
  </si>
  <si>
    <t>E (16.00-16.45)</t>
  </si>
  <si>
    <t>F (16.45-17.30)</t>
  </si>
  <si>
    <t>G (17.30-18.15)</t>
  </si>
  <si>
    <t>H (18.15-19.00)</t>
  </si>
  <si>
    <t>I (19.00-19.15)</t>
  </si>
  <si>
    <t>J_Per Time Swimmers Only (06.00-17.45)</t>
  </si>
  <si>
    <t>SC1 (08.00-08.45)</t>
  </si>
  <si>
    <t>SC2 (09.00-10.00)</t>
  </si>
  <si>
    <t>Amount</t>
  </si>
  <si>
    <t>Member's ID</t>
  </si>
  <si>
    <t>Wet Wipes</t>
  </si>
  <si>
    <t>Waterproof 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</si>
</sst>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48"/>
      <color theme="7" tint="-0.249977111117893"/>
      <name val="Algerian"/>
      <family val="5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b/>
      <i/>
      <sz val="28"/>
      <color rgb="FF00008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0" xfId="0" applyFill="1"/>
    <xf numFmtId="0" fontId="2" fillId="4" borderId="3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6" fillId="0" borderId="0" xfId="0" applyNumberFormat="1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2743200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217"/>
  <sheetViews>
    <sheetView zoomScale="106" zoomScaleNormal="106" workbookViewId="0">
      <selection activeCell="O8" sqref="O8"/>
    </sheetView>
  </sheetViews>
  <sheetFormatPr defaultRowHeight="15" x14ac:dyDescent="0.25"/>
  <cols>
    <col min="1" max="1" width="10.42578125" style="12" customWidth="1"/>
    <col min="2" max="2" width="21.28515625" customWidth="1"/>
    <col min="3" max="3" width="12.28515625" customWidth="1"/>
    <col min="6" max="6" width="10" customWidth="1"/>
    <col min="7" max="7" width="10.140625" customWidth="1"/>
    <col min="12" max="12" width="0.140625" customWidth="1"/>
  </cols>
  <sheetData>
    <row r="1" spans="1:13" ht="15" customHeight="1" x14ac:dyDescent="0.25">
      <c r="A1" s="21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2"/>
      <c r="M1" s="8"/>
    </row>
    <row r="2" spans="1:13" ht="1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  <c r="M2" s="8"/>
    </row>
    <row r="3" spans="1:13" ht="15" customHeight="1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2"/>
      <c r="M3" s="8"/>
    </row>
    <row r="4" spans="1:13" ht="15" customHeight="1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2"/>
      <c r="M4" s="8"/>
    </row>
    <row r="5" spans="1:13" s="3" customFormat="1" ht="25.5" x14ac:dyDescent="0.25">
      <c r="A5" s="4" t="s">
        <v>4</v>
      </c>
      <c r="B5" s="5" t="s">
        <v>2</v>
      </c>
      <c r="C5" s="5" t="s">
        <v>1</v>
      </c>
      <c r="D5" s="5" t="s">
        <v>3</v>
      </c>
      <c r="E5" s="4" t="s">
        <v>5</v>
      </c>
      <c r="F5" s="4" t="s">
        <v>6</v>
      </c>
      <c r="G5" s="4" t="s">
        <v>70</v>
      </c>
      <c r="H5" s="4" t="s">
        <v>71</v>
      </c>
      <c r="I5" s="4" t="s">
        <v>7</v>
      </c>
      <c r="J5" s="4" t="s">
        <v>8</v>
      </c>
      <c r="K5" s="4" t="s">
        <v>9</v>
      </c>
      <c r="L5" s="7"/>
      <c r="M5" s="8"/>
    </row>
    <row r="6" spans="1:13" x14ac:dyDescent="0.25">
      <c r="A6" s="10" t="s">
        <v>10</v>
      </c>
      <c r="B6" s="16" t="s">
        <v>37</v>
      </c>
      <c r="C6" s="17" t="s">
        <v>62</v>
      </c>
      <c r="D6" s="6">
        <v>50</v>
      </c>
      <c r="E6" s="6">
        <v>700</v>
      </c>
      <c r="F6" s="6">
        <f>SUM(E6*D6)</f>
        <v>35000</v>
      </c>
      <c r="G6" s="6">
        <f>F6*10%</f>
        <v>3500</v>
      </c>
      <c r="H6" s="6">
        <f>(F6-G6)*17%</f>
        <v>5355</v>
      </c>
      <c r="I6" s="6">
        <v>1000</v>
      </c>
      <c r="J6" s="6">
        <f>SUM(D6*I6)</f>
        <v>50000</v>
      </c>
      <c r="K6" s="18">
        <f>J6-F6</f>
        <v>15000</v>
      </c>
      <c r="L6" s="7"/>
      <c r="M6" s="8"/>
    </row>
    <row r="7" spans="1:13" x14ac:dyDescent="0.25">
      <c r="A7" s="10" t="s">
        <v>11</v>
      </c>
      <c r="B7" s="16" t="s">
        <v>38</v>
      </c>
      <c r="C7" s="17" t="s">
        <v>63</v>
      </c>
      <c r="D7" s="6">
        <v>30</v>
      </c>
      <c r="E7" s="6">
        <v>150</v>
      </c>
      <c r="F7" s="6">
        <f t="shared" ref="F7:F32" si="0">SUM(E7*D7)</f>
        <v>4500</v>
      </c>
      <c r="G7" s="6">
        <f t="shared" ref="G7:G32" si="1">F7*10%</f>
        <v>450</v>
      </c>
      <c r="H7" s="6">
        <f t="shared" ref="H7:H32" si="2">(F7-G7)*17%</f>
        <v>688.5</v>
      </c>
      <c r="I7" s="6">
        <v>200</v>
      </c>
      <c r="J7" s="6">
        <f t="shared" ref="J7:J32" si="3">SUM(D7*I7)</f>
        <v>6000</v>
      </c>
      <c r="K7" s="18">
        <f t="shared" ref="K7:K32" si="4">J7-F7</f>
        <v>1500</v>
      </c>
      <c r="L7" s="7"/>
      <c r="M7" s="8"/>
    </row>
    <row r="8" spans="1:13" x14ac:dyDescent="0.25">
      <c r="A8" s="10" t="s">
        <v>12</v>
      </c>
      <c r="B8" s="16" t="s">
        <v>39</v>
      </c>
      <c r="C8" s="17" t="s">
        <v>64</v>
      </c>
      <c r="D8" s="6">
        <v>20</v>
      </c>
      <c r="E8" s="6">
        <v>200</v>
      </c>
      <c r="F8" s="6">
        <f t="shared" si="0"/>
        <v>4000</v>
      </c>
      <c r="G8" s="6">
        <f t="shared" si="1"/>
        <v>400</v>
      </c>
      <c r="H8" s="6">
        <f t="shared" si="2"/>
        <v>612</v>
      </c>
      <c r="I8" s="6">
        <v>300</v>
      </c>
      <c r="J8" s="6">
        <f t="shared" si="3"/>
        <v>6000</v>
      </c>
      <c r="K8" s="18">
        <f t="shared" si="4"/>
        <v>2000</v>
      </c>
      <c r="L8" s="7"/>
      <c r="M8" s="8"/>
    </row>
    <row r="9" spans="1:13" x14ac:dyDescent="0.25">
      <c r="A9" s="10" t="s">
        <v>13</v>
      </c>
      <c r="B9" s="16" t="s">
        <v>110</v>
      </c>
      <c r="C9" s="17" t="s">
        <v>65</v>
      </c>
      <c r="D9" s="6">
        <v>35</v>
      </c>
      <c r="E9" s="6">
        <v>120</v>
      </c>
      <c r="F9" s="6">
        <f t="shared" si="0"/>
        <v>4200</v>
      </c>
      <c r="G9" s="6">
        <f t="shared" si="1"/>
        <v>420</v>
      </c>
      <c r="H9" s="6">
        <f t="shared" si="2"/>
        <v>642.6</v>
      </c>
      <c r="I9" s="6">
        <v>200</v>
      </c>
      <c r="J9" s="6">
        <f t="shared" si="3"/>
        <v>7000</v>
      </c>
      <c r="K9" s="18">
        <f t="shared" si="4"/>
        <v>2800</v>
      </c>
      <c r="L9" s="7"/>
      <c r="M9" s="8"/>
    </row>
    <row r="10" spans="1:13" x14ac:dyDescent="0.25">
      <c r="A10" s="10" t="s">
        <v>14</v>
      </c>
      <c r="B10" s="16" t="s">
        <v>111</v>
      </c>
      <c r="C10" s="17" t="s">
        <v>66</v>
      </c>
      <c r="D10" s="6">
        <v>25</v>
      </c>
      <c r="E10" s="6">
        <v>80</v>
      </c>
      <c r="F10" s="6">
        <f t="shared" si="0"/>
        <v>2000</v>
      </c>
      <c r="G10" s="6">
        <f t="shared" si="1"/>
        <v>200</v>
      </c>
      <c r="H10" s="6">
        <f t="shared" si="2"/>
        <v>306</v>
      </c>
      <c r="I10" s="6">
        <v>150</v>
      </c>
      <c r="J10" s="6">
        <f t="shared" si="3"/>
        <v>3750</v>
      </c>
      <c r="K10" s="18">
        <f t="shared" si="4"/>
        <v>1750</v>
      </c>
      <c r="L10" s="7"/>
      <c r="M10" s="8"/>
    </row>
    <row r="11" spans="1:13" x14ac:dyDescent="0.25">
      <c r="A11" s="10" t="s">
        <v>15</v>
      </c>
      <c r="B11" s="16" t="s">
        <v>40</v>
      </c>
      <c r="C11" s="17" t="s">
        <v>67</v>
      </c>
      <c r="D11" s="6">
        <v>28</v>
      </c>
      <c r="E11" s="6">
        <v>600</v>
      </c>
      <c r="F11" s="6">
        <f t="shared" si="0"/>
        <v>16800</v>
      </c>
      <c r="G11" s="6">
        <f t="shared" si="1"/>
        <v>1680</v>
      </c>
      <c r="H11" s="6">
        <f t="shared" si="2"/>
        <v>2570.4</v>
      </c>
      <c r="I11" s="6">
        <v>800</v>
      </c>
      <c r="J11" s="6">
        <f t="shared" si="3"/>
        <v>22400</v>
      </c>
      <c r="K11" s="18">
        <f t="shared" si="4"/>
        <v>5600</v>
      </c>
      <c r="L11" s="7"/>
      <c r="M11" s="8"/>
    </row>
    <row r="12" spans="1:13" x14ac:dyDescent="0.25">
      <c r="A12" s="10" t="s">
        <v>16</v>
      </c>
      <c r="B12" s="16" t="s">
        <v>41</v>
      </c>
      <c r="C12" s="17" t="s">
        <v>68</v>
      </c>
      <c r="D12" s="6">
        <v>30</v>
      </c>
      <c r="E12" s="6">
        <v>50</v>
      </c>
      <c r="F12" s="6">
        <f t="shared" si="0"/>
        <v>1500</v>
      </c>
      <c r="G12" s="6">
        <f t="shared" si="1"/>
        <v>150</v>
      </c>
      <c r="H12" s="6">
        <f t="shared" si="2"/>
        <v>229.50000000000003</v>
      </c>
      <c r="I12" s="6">
        <v>150</v>
      </c>
      <c r="J12" s="6">
        <f t="shared" si="3"/>
        <v>4500</v>
      </c>
      <c r="K12" s="18">
        <f t="shared" si="4"/>
        <v>3000</v>
      </c>
      <c r="L12" s="7"/>
      <c r="M12" s="8"/>
    </row>
    <row r="13" spans="1:13" x14ac:dyDescent="0.25">
      <c r="A13" s="10" t="s">
        <v>17</v>
      </c>
      <c r="B13" s="16" t="s">
        <v>42</v>
      </c>
      <c r="C13" s="17" t="s">
        <v>68</v>
      </c>
      <c r="D13" s="6">
        <v>15</v>
      </c>
      <c r="E13" s="6">
        <v>100</v>
      </c>
      <c r="F13" s="6">
        <f t="shared" si="0"/>
        <v>1500</v>
      </c>
      <c r="G13" s="6">
        <f t="shared" si="1"/>
        <v>150</v>
      </c>
      <c r="H13" s="6">
        <f t="shared" si="2"/>
        <v>229.50000000000003</v>
      </c>
      <c r="I13" s="6">
        <v>250</v>
      </c>
      <c r="J13" s="6">
        <f t="shared" si="3"/>
        <v>3750</v>
      </c>
      <c r="K13" s="18">
        <f t="shared" si="4"/>
        <v>2250</v>
      </c>
      <c r="L13" s="7"/>
      <c r="M13" s="8"/>
    </row>
    <row r="14" spans="1:13" x14ac:dyDescent="0.25">
      <c r="A14" s="10" t="s">
        <v>18</v>
      </c>
      <c r="B14" s="16" t="s">
        <v>43</v>
      </c>
      <c r="C14" s="17" t="s">
        <v>62</v>
      </c>
      <c r="D14" s="6">
        <v>13</v>
      </c>
      <c r="E14" s="6">
        <v>250</v>
      </c>
      <c r="F14" s="6">
        <f t="shared" si="0"/>
        <v>3250</v>
      </c>
      <c r="G14" s="6">
        <f t="shared" si="1"/>
        <v>325</v>
      </c>
      <c r="H14" s="6">
        <f t="shared" si="2"/>
        <v>497.25000000000006</v>
      </c>
      <c r="I14" s="6">
        <v>350</v>
      </c>
      <c r="J14" s="6">
        <f t="shared" si="3"/>
        <v>4550</v>
      </c>
      <c r="K14" s="18">
        <f t="shared" si="4"/>
        <v>1300</v>
      </c>
      <c r="L14" s="7"/>
      <c r="M14" s="8"/>
    </row>
    <row r="15" spans="1:13" x14ac:dyDescent="0.25">
      <c r="A15" s="10" t="s">
        <v>19</v>
      </c>
      <c r="B15" s="16" t="s">
        <v>44</v>
      </c>
      <c r="C15" s="17" t="s">
        <v>69</v>
      </c>
      <c r="D15" s="6">
        <v>8</v>
      </c>
      <c r="E15" s="6">
        <v>150</v>
      </c>
      <c r="F15" s="6">
        <f t="shared" si="0"/>
        <v>1200</v>
      </c>
      <c r="G15" s="6">
        <f t="shared" si="1"/>
        <v>120</v>
      </c>
      <c r="H15" s="6">
        <f t="shared" si="2"/>
        <v>183.60000000000002</v>
      </c>
      <c r="I15" s="6">
        <v>200</v>
      </c>
      <c r="J15" s="6">
        <f t="shared" si="3"/>
        <v>1600</v>
      </c>
      <c r="K15" s="18">
        <f t="shared" si="4"/>
        <v>400</v>
      </c>
      <c r="L15" s="7"/>
      <c r="M15" s="8"/>
    </row>
    <row r="16" spans="1:13" x14ac:dyDescent="0.25">
      <c r="A16" s="10" t="s">
        <v>20</v>
      </c>
      <c r="B16" s="16" t="s">
        <v>45</v>
      </c>
      <c r="C16" s="17" t="s">
        <v>65</v>
      </c>
      <c r="D16" s="6">
        <v>25</v>
      </c>
      <c r="E16" s="6">
        <v>200</v>
      </c>
      <c r="F16" s="6">
        <f t="shared" si="0"/>
        <v>5000</v>
      </c>
      <c r="G16" s="6">
        <f t="shared" si="1"/>
        <v>500</v>
      </c>
      <c r="H16" s="6">
        <f t="shared" si="2"/>
        <v>765</v>
      </c>
      <c r="I16" s="6">
        <v>350</v>
      </c>
      <c r="J16" s="6">
        <f t="shared" si="3"/>
        <v>8750</v>
      </c>
      <c r="K16" s="18">
        <f t="shared" si="4"/>
        <v>3750</v>
      </c>
      <c r="L16" s="7"/>
      <c r="M16" s="8"/>
    </row>
    <row r="17" spans="1:14" x14ac:dyDescent="0.25">
      <c r="A17" s="10" t="s">
        <v>21</v>
      </c>
      <c r="B17" s="16" t="s">
        <v>46</v>
      </c>
      <c r="C17" s="17" t="s">
        <v>67</v>
      </c>
      <c r="D17" s="6">
        <v>16</v>
      </c>
      <c r="E17" s="6">
        <v>400</v>
      </c>
      <c r="F17" s="6">
        <f t="shared" si="0"/>
        <v>6400</v>
      </c>
      <c r="G17" s="6">
        <f t="shared" si="1"/>
        <v>640</v>
      </c>
      <c r="H17" s="6">
        <f t="shared" si="2"/>
        <v>979.2</v>
      </c>
      <c r="I17" s="6">
        <v>600</v>
      </c>
      <c r="J17" s="6">
        <f t="shared" si="3"/>
        <v>9600</v>
      </c>
      <c r="K17" s="18">
        <f t="shared" si="4"/>
        <v>3200</v>
      </c>
      <c r="L17" s="7"/>
      <c r="M17" s="8"/>
    </row>
    <row r="18" spans="1:14" x14ac:dyDescent="0.25">
      <c r="A18" s="10" t="s">
        <v>22</v>
      </c>
      <c r="B18" s="16" t="s">
        <v>47</v>
      </c>
      <c r="C18" s="17" t="s">
        <v>67</v>
      </c>
      <c r="D18" s="6">
        <v>18</v>
      </c>
      <c r="E18" s="6">
        <v>1500</v>
      </c>
      <c r="F18" s="6">
        <f t="shared" si="0"/>
        <v>27000</v>
      </c>
      <c r="G18" s="6">
        <f t="shared" si="1"/>
        <v>2700</v>
      </c>
      <c r="H18" s="6">
        <f t="shared" si="2"/>
        <v>4131</v>
      </c>
      <c r="I18" s="6">
        <v>2000</v>
      </c>
      <c r="J18" s="6">
        <f t="shared" si="3"/>
        <v>36000</v>
      </c>
      <c r="K18" s="18">
        <f t="shared" si="4"/>
        <v>9000</v>
      </c>
      <c r="L18" s="7"/>
      <c r="M18" s="8"/>
    </row>
    <row r="19" spans="1:14" x14ac:dyDescent="0.25">
      <c r="A19" s="10" t="s">
        <v>23</v>
      </c>
      <c r="B19" s="16" t="s">
        <v>48</v>
      </c>
      <c r="C19" s="17" t="s">
        <v>67</v>
      </c>
      <c r="D19" s="6">
        <v>30</v>
      </c>
      <c r="E19" s="6">
        <v>3000</v>
      </c>
      <c r="F19" s="6">
        <f t="shared" si="0"/>
        <v>90000</v>
      </c>
      <c r="G19" s="6">
        <f t="shared" si="1"/>
        <v>9000</v>
      </c>
      <c r="H19" s="6">
        <f t="shared" si="2"/>
        <v>13770.000000000002</v>
      </c>
      <c r="I19" s="6">
        <v>4000</v>
      </c>
      <c r="J19" s="6">
        <f t="shared" si="3"/>
        <v>120000</v>
      </c>
      <c r="K19" s="18">
        <f t="shared" si="4"/>
        <v>30000</v>
      </c>
      <c r="L19" s="7"/>
      <c r="M19" s="8"/>
    </row>
    <row r="20" spans="1:14" x14ac:dyDescent="0.25">
      <c r="A20" s="10" t="s">
        <v>24</v>
      </c>
      <c r="B20" s="16" t="s">
        <v>49</v>
      </c>
      <c r="C20" s="17" t="s">
        <v>69</v>
      </c>
      <c r="D20" s="6">
        <v>40</v>
      </c>
      <c r="E20" s="6">
        <v>800</v>
      </c>
      <c r="F20" s="6">
        <f t="shared" si="0"/>
        <v>32000</v>
      </c>
      <c r="G20" s="6">
        <f t="shared" si="1"/>
        <v>3200</v>
      </c>
      <c r="H20" s="6">
        <f t="shared" si="2"/>
        <v>4896</v>
      </c>
      <c r="I20" s="6">
        <v>1000</v>
      </c>
      <c r="J20" s="6">
        <f t="shared" si="3"/>
        <v>40000</v>
      </c>
      <c r="K20" s="18">
        <f t="shared" si="4"/>
        <v>8000</v>
      </c>
      <c r="L20" s="7"/>
      <c r="M20" s="8"/>
      <c r="N20" s="3"/>
    </row>
    <row r="21" spans="1:14" x14ac:dyDescent="0.25">
      <c r="A21" s="10" t="s">
        <v>25</v>
      </c>
      <c r="B21" s="16" t="s">
        <v>50</v>
      </c>
      <c r="C21" s="17" t="s">
        <v>69</v>
      </c>
      <c r="D21" s="6">
        <v>45</v>
      </c>
      <c r="E21" s="6">
        <v>1500</v>
      </c>
      <c r="F21" s="6">
        <f t="shared" si="0"/>
        <v>67500</v>
      </c>
      <c r="G21" s="6">
        <f t="shared" si="1"/>
        <v>6750</v>
      </c>
      <c r="H21" s="6">
        <f t="shared" si="2"/>
        <v>10327.5</v>
      </c>
      <c r="I21" s="6">
        <v>1700</v>
      </c>
      <c r="J21" s="6">
        <f t="shared" si="3"/>
        <v>76500</v>
      </c>
      <c r="K21" s="18">
        <f t="shared" si="4"/>
        <v>9000</v>
      </c>
      <c r="L21" s="7"/>
      <c r="M21" s="8"/>
    </row>
    <row r="22" spans="1:14" x14ac:dyDescent="0.25">
      <c r="A22" s="10" t="s">
        <v>26</v>
      </c>
      <c r="B22" s="16" t="s">
        <v>51</v>
      </c>
      <c r="C22" s="17" t="s">
        <v>65</v>
      </c>
      <c r="D22" s="6">
        <v>35</v>
      </c>
      <c r="E22" s="6">
        <v>700</v>
      </c>
      <c r="F22" s="6">
        <f t="shared" si="0"/>
        <v>24500</v>
      </c>
      <c r="G22" s="6">
        <f t="shared" si="1"/>
        <v>2450</v>
      </c>
      <c r="H22" s="6">
        <f t="shared" si="2"/>
        <v>3748.5000000000005</v>
      </c>
      <c r="I22" s="6">
        <v>800</v>
      </c>
      <c r="J22" s="6">
        <f t="shared" si="3"/>
        <v>28000</v>
      </c>
      <c r="K22" s="18">
        <f t="shared" si="4"/>
        <v>3500</v>
      </c>
      <c r="L22" s="7"/>
      <c r="M22" s="8"/>
    </row>
    <row r="23" spans="1:14" x14ac:dyDescent="0.25">
      <c r="A23" s="10" t="s">
        <v>27</v>
      </c>
      <c r="B23" s="16" t="s">
        <v>52</v>
      </c>
      <c r="C23" s="17" t="s">
        <v>62</v>
      </c>
      <c r="D23" s="6">
        <v>25</v>
      </c>
      <c r="E23" s="6">
        <v>900</v>
      </c>
      <c r="F23" s="6">
        <f t="shared" si="0"/>
        <v>22500</v>
      </c>
      <c r="G23" s="6">
        <f t="shared" si="1"/>
        <v>2250</v>
      </c>
      <c r="H23" s="6">
        <f t="shared" si="2"/>
        <v>3442.5000000000005</v>
      </c>
      <c r="I23" s="6">
        <v>1000</v>
      </c>
      <c r="J23" s="6">
        <f t="shared" si="3"/>
        <v>25000</v>
      </c>
      <c r="K23" s="18">
        <f t="shared" si="4"/>
        <v>2500</v>
      </c>
      <c r="L23" s="7"/>
      <c r="M23" s="8"/>
    </row>
    <row r="24" spans="1:14" x14ac:dyDescent="0.25">
      <c r="A24" s="10" t="s">
        <v>28</v>
      </c>
      <c r="B24" s="16" t="s">
        <v>53</v>
      </c>
      <c r="C24" s="17" t="s">
        <v>62</v>
      </c>
      <c r="D24" s="6">
        <v>45</v>
      </c>
      <c r="E24" s="6">
        <v>1000</v>
      </c>
      <c r="F24" s="6">
        <f t="shared" si="0"/>
        <v>45000</v>
      </c>
      <c r="G24" s="6">
        <f t="shared" si="1"/>
        <v>4500</v>
      </c>
      <c r="H24" s="6">
        <f t="shared" si="2"/>
        <v>6885.0000000000009</v>
      </c>
      <c r="I24" s="6">
        <v>1250</v>
      </c>
      <c r="J24" s="6">
        <f t="shared" si="3"/>
        <v>56250</v>
      </c>
      <c r="K24" s="18">
        <f t="shared" si="4"/>
        <v>11250</v>
      </c>
      <c r="L24" s="7"/>
      <c r="M24" s="8"/>
    </row>
    <row r="25" spans="1:14" x14ac:dyDescent="0.25">
      <c r="A25" s="10" t="s">
        <v>29</v>
      </c>
      <c r="B25" s="16" t="s">
        <v>54</v>
      </c>
      <c r="C25" s="17" t="s">
        <v>68</v>
      </c>
      <c r="D25" s="6">
        <v>24</v>
      </c>
      <c r="E25" s="6">
        <v>1200</v>
      </c>
      <c r="F25" s="6">
        <f t="shared" si="0"/>
        <v>28800</v>
      </c>
      <c r="G25" s="6">
        <f t="shared" si="1"/>
        <v>2880</v>
      </c>
      <c r="H25" s="6">
        <f t="shared" si="2"/>
        <v>4406.4000000000005</v>
      </c>
      <c r="I25" s="6">
        <v>1400</v>
      </c>
      <c r="J25" s="6">
        <f t="shared" si="3"/>
        <v>33600</v>
      </c>
      <c r="K25" s="18">
        <f t="shared" si="4"/>
        <v>4800</v>
      </c>
      <c r="L25" s="7"/>
      <c r="M25" s="8"/>
    </row>
    <row r="26" spans="1:14" x14ac:dyDescent="0.25">
      <c r="A26" s="10" t="s">
        <v>30</v>
      </c>
      <c r="B26" s="16" t="s">
        <v>55</v>
      </c>
      <c r="C26" s="17" t="s">
        <v>66</v>
      </c>
      <c r="D26" s="6">
        <v>28</v>
      </c>
      <c r="E26" s="6">
        <v>300</v>
      </c>
      <c r="F26" s="6">
        <f t="shared" si="0"/>
        <v>8400</v>
      </c>
      <c r="G26" s="6">
        <f t="shared" si="1"/>
        <v>840</v>
      </c>
      <c r="H26" s="6">
        <f t="shared" si="2"/>
        <v>1285.2</v>
      </c>
      <c r="I26" s="6">
        <v>350</v>
      </c>
      <c r="J26" s="6">
        <f t="shared" si="3"/>
        <v>9800</v>
      </c>
      <c r="K26" s="18">
        <f t="shared" si="4"/>
        <v>1400</v>
      </c>
      <c r="L26" s="7"/>
      <c r="M26" s="8"/>
    </row>
    <row r="27" spans="1:14" x14ac:dyDescent="0.25">
      <c r="A27" s="10" t="s">
        <v>31</v>
      </c>
      <c r="B27" s="16" t="s">
        <v>56</v>
      </c>
      <c r="C27" s="17" t="s">
        <v>64</v>
      </c>
      <c r="D27" s="6">
        <v>38</v>
      </c>
      <c r="E27" s="6">
        <v>600</v>
      </c>
      <c r="F27" s="6">
        <f t="shared" si="0"/>
        <v>22800</v>
      </c>
      <c r="G27" s="6">
        <f t="shared" si="1"/>
        <v>2280</v>
      </c>
      <c r="H27" s="6">
        <f t="shared" si="2"/>
        <v>3488.4</v>
      </c>
      <c r="I27" s="6">
        <v>700</v>
      </c>
      <c r="J27" s="6">
        <f t="shared" si="3"/>
        <v>26600</v>
      </c>
      <c r="K27" s="18">
        <f t="shared" si="4"/>
        <v>3800</v>
      </c>
      <c r="L27" s="7"/>
      <c r="M27" s="8"/>
    </row>
    <row r="28" spans="1:14" x14ac:dyDescent="0.25">
      <c r="A28" s="10" t="s">
        <v>32</v>
      </c>
      <c r="B28" s="16" t="s">
        <v>57</v>
      </c>
      <c r="C28" s="17" t="s">
        <v>62</v>
      </c>
      <c r="D28" s="6">
        <v>42</v>
      </c>
      <c r="E28" s="6">
        <v>5000</v>
      </c>
      <c r="F28" s="6">
        <f t="shared" si="0"/>
        <v>210000</v>
      </c>
      <c r="G28" s="6">
        <f t="shared" si="1"/>
        <v>21000</v>
      </c>
      <c r="H28" s="6">
        <f t="shared" si="2"/>
        <v>32130.000000000004</v>
      </c>
      <c r="I28" s="6">
        <v>5500</v>
      </c>
      <c r="J28" s="6">
        <f t="shared" si="3"/>
        <v>231000</v>
      </c>
      <c r="K28" s="18">
        <f t="shared" si="4"/>
        <v>21000</v>
      </c>
      <c r="L28" s="7"/>
      <c r="M28" s="8"/>
    </row>
    <row r="29" spans="1:14" x14ac:dyDescent="0.25">
      <c r="A29" s="10" t="s">
        <v>33</v>
      </c>
      <c r="B29" s="16" t="s">
        <v>58</v>
      </c>
      <c r="C29" s="17" t="s">
        <v>66</v>
      </c>
      <c r="D29" s="6">
        <v>16</v>
      </c>
      <c r="E29" s="6">
        <v>3000</v>
      </c>
      <c r="F29" s="6">
        <f t="shared" si="0"/>
        <v>48000</v>
      </c>
      <c r="G29" s="6">
        <f t="shared" si="1"/>
        <v>4800</v>
      </c>
      <c r="H29" s="6">
        <f t="shared" si="2"/>
        <v>7344.0000000000009</v>
      </c>
      <c r="I29" s="6">
        <v>3450</v>
      </c>
      <c r="J29" s="6">
        <f t="shared" si="3"/>
        <v>55200</v>
      </c>
      <c r="K29" s="18">
        <f t="shared" si="4"/>
        <v>7200</v>
      </c>
      <c r="L29" s="7"/>
      <c r="M29" s="8"/>
    </row>
    <row r="30" spans="1:14" x14ac:dyDescent="0.25">
      <c r="A30" s="10" t="s">
        <v>34</v>
      </c>
      <c r="B30" s="16" t="s">
        <v>59</v>
      </c>
      <c r="C30" s="17" t="s">
        <v>63</v>
      </c>
      <c r="D30" s="6">
        <v>18</v>
      </c>
      <c r="E30" s="6">
        <v>1400</v>
      </c>
      <c r="F30" s="6">
        <f t="shared" si="0"/>
        <v>25200</v>
      </c>
      <c r="G30" s="6">
        <f t="shared" si="1"/>
        <v>2520</v>
      </c>
      <c r="H30" s="6">
        <f t="shared" si="2"/>
        <v>3855.6000000000004</v>
      </c>
      <c r="I30" s="6">
        <v>1500</v>
      </c>
      <c r="J30" s="6">
        <f t="shared" si="3"/>
        <v>27000</v>
      </c>
      <c r="K30" s="18">
        <f t="shared" si="4"/>
        <v>1800</v>
      </c>
      <c r="L30" s="7"/>
      <c r="M30" s="8"/>
    </row>
    <row r="31" spans="1:14" x14ac:dyDescent="0.25">
      <c r="A31" s="10" t="s">
        <v>35</v>
      </c>
      <c r="B31" s="16" t="s">
        <v>60</v>
      </c>
      <c r="C31" s="17" t="s">
        <v>63</v>
      </c>
      <c r="D31" s="6">
        <v>8</v>
      </c>
      <c r="E31" s="6">
        <v>800</v>
      </c>
      <c r="F31" s="6">
        <f t="shared" si="0"/>
        <v>6400</v>
      </c>
      <c r="G31" s="6">
        <f t="shared" si="1"/>
        <v>640</v>
      </c>
      <c r="H31" s="6">
        <f t="shared" si="2"/>
        <v>979.2</v>
      </c>
      <c r="I31" s="6">
        <v>900</v>
      </c>
      <c r="J31" s="6">
        <f t="shared" si="3"/>
        <v>7200</v>
      </c>
      <c r="K31" s="18">
        <f t="shared" si="4"/>
        <v>800</v>
      </c>
      <c r="L31" s="7"/>
      <c r="M31" s="8"/>
    </row>
    <row r="32" spans="1:14" x14ac:dyDescent="0.25">
      <c r="A32" s="13" t="s">
        <v>36</v>
      </c>
      <c r="B32" s="16" t="s">
        <v>61</v>
      </c>
      <c r="C32" s="17" t="s">
        <v>67</v>
      </c>
      <c r="D32" s="6">
        <v>5</v>
      </c>
      <c r="E32" s="6">
        <v>1700</v>
      </c>
      <c r="F32" s="6">
        <f t="shared" si="0"/>
        <v>8500</v>
      </c>
      <c r="G32" s="6">
        <f t="shared" si="1"/>
        <v>850</v>
      </c>
      <c r="H32" s="6">
        <f t="shared" si="2"/>
        <v>1300.5</v>
      </c>
      <c r="I32" s="6">
        <v>2000</v>
      </c>
      <c r="J32" s="6">
        <f t="shared" si="3"/>
        <v>10000</v>
      </c>
      <c r="K32" s="18">
        <f t="shared" si="4"/>
        <v>1500</v>
      </c>
      <c r="L32" s="7"/>
      <c r="M32" s="8"/>
    </row>
    <row r="33" spans="1:13" x14ac:dyDescent="0.25">
      <c r="A33" s="11"/>
      <c r="B33" s="8"/>
      <c r="C33" s="8"/>
      <c r="D33" s="8"/>
      <c r="E33" s="8"/>
      <c r="F33" s="8"/>
      <c r="G33" s="8"/>
      <c r="H33" s="8"/>
      <c r="I33" s="8"/>
      <c r="J33" s="8"/>
      <c r="K33" s="8"/>
      <c r="L33" s="9"/>
      <c r="M33" s="8"/>
    </row>
    <row r="34" spans="1:13" x14ac:dyDescent="0.25">
      <c r="A34" s="1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1:13" x14ac:dyDescent="0.25">
      <c r="A35" s="11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25">
      <c r="A36" s="11"/>
      <c r="B36" s="1"/>
    </row>
    <row r="37" spans="1:13" x14ac:dyDescent="0.25">
      <c r="A37" s="11"/>
      <c r="B37" s="1"/>
    </row>
    <row r="38" spans="1:13" x14ac:dyDescent="0.25">
      <c r="A38" s="11"/>
      <c r="B38" s="1"/>
    </row>
    <row r="39" spans="1:13" x14ac:dyDescent="0.25">
      <c r="A39" s="11"/>
      <c r="B39" s="1"/>
    </row>
    <row r="40" spans="1:13" x14ac:dyDescent="0.25">
      <c r="A40" s="11"/>
      <c r="B40" s="1"/>
    </row>
    <row r="41" spans="1:13" x14ac:dyDescent="0.25">
      <c r="A41" s="11"/>
      <c r="B41" s="1"/>
    </row>
    <row r="42" spans="1:13" x14ac:dyDescent="0.25">
      <c r="A42" s="11"/>
      <c r="B42" s="1"/>
    </row>
    <row r="43" spans="1:13" x14ac:dyDescent="0.25">
      <c r="A43" s="11"/>
      <c r="B43" s="1"/>
    </row>
    <row r="44" spans="1:13" x14ac:dyDescent="0.25">
      <c r="A44" s="11"/>
      <c r="B44" s="1"/>
    </row>
    <row r="45" spans="1:13" x14ac:dyDescent="0.25">
      <c r="A45" s="11"/>
      <c r="B45" s="1"/>
    </row>
    <row r="46" spans="1:13" x14ac:dyDescent="0.25">
      <c r="A46" s="11"/>
      <c r="B46" s="1"/>
    </row>
    <row r="47" spans="1:13" x14ac:dyDescent="0.25">
      <c r="A47" s="11"/>
      <c r="B47" s="1"/>
    </row>
    <row r="48" spans="1:13" x14ac:dyDescent="0.25">
      <c r="A48" s="11"/>
      <c r="B48" s="1"/>
    </row>
    <row r="49" spans="1:2" x14ac:dyDescent="0.25">
      <c r="A49" s="11"/>
      <c r="B49" s="1"/>
    </row>
    <row r="50" spans="1:2" x14ac:dyDescent="0.25">
      <c r="A50" s="11"/>
      <c r="B50" s="1"/>
    </row>
    <row r="51" spans="1:2" x14ac:dyDescent="0.25">
      <c r="A51" s="11"/>
      <c r="B51" s="1"/>
    </row>
    <row r="52" spans="1:2" x14ac:dyDescent="0.25">
      <c r="A52" s="11"/>
      <c r="B52" s="1"/>
    </row>
    <row r="53" spans="1:2" x14ac:dyDescent="0.25">
      <c r="A53" s="11"/>
      <c r="B53" s="1"/>
    </row>
    <row r="54" spans="1:2" x14ac:dyDescent="0.25">
      <c r="A54" s="11"/>
      <c r="B54" s="1"/>
    </row>
    <row r="55" spans="1:2" x14ac:dyDescent="0.25">
      <c r="A55" s="11"/>
      <c r="B55" s="1"/>
    </row>
    <row r="56" spans="1:2" x14ac:dyDescent="0.25">
      <c r="A56" s="11"/>
      <c r="B56" s="1"/>
    </row>
    <row r="57" spans="1:2" x14ac:dyDescent="0.25">
      <c r="A57" s="11"/>
      <c r="B57" s="1"/>
    </row>
    <row r="58" spans="1:2" x14ac:dyDescent="0.25">
      <c r="A58" s="11"/>
      <c r="B58" s="1"/>
    </row>
    <row r="59" spans="1:2" x14ac:dyDescent="0.25">
      <c r="A59" s="11"/>
      <c r="B59" s="1"/>
    </row>
    <row r="60" spans="1:2" x14ac:dyDescent="0.25">
      <c r="A60" s="11"/>
      <c r="B60" s="1"/>
    </row>
    <row r="61" spans="1:2" x14ac:dyDescent="0.25">
      <c r="A61" s="11"/>
      <c r="B61" s="1"/>
    </row>
    <row r="62" spans="1:2" x14ac:dyDescent="0.25">
      <c r="A62" s="11"/>
      <c r="B62" s="1"/>
    </row>
    <row r="63" spans="1:2" x14ac:dyDescent="0.25">
      <c r="A63" s="11"/>
      <c r="B63" s="1"/>
    </row>
    <row r="64" spans="1:2" x14ac:dyDescent="0.25">
      <c r="A64" s="11"/>
      <c r="B64" s="1"/>
    </row>
    <row r="65" spans="1:2" x14ac:dyDescent="0.25">
      <c r="A65" s="11"/>
      <c r="B65" s="1"/>
    </row>
    <row r="66" spans="1:2" x14ac:dyDescent="0.25">
      <c r="A66" s="11"/>
      <c r="B66" s="1"/>
    </row>
    <row r="67" spans="1:2" x14ac:dyDescent="0.25">
      <c r="A67" s="11"/>
      <c r="B67" s="1"/>
    </row>
    <row r="68" spans="1:2" x14ac:dyDescent="0.25">
      <c r="A68" s="11"/>
      <c r="B68" s="1"/>
    </row>
    <row r="69" spans="1:2" x14ac:dyDescent="0.25">
      <c r="A69" s="11"/>
      <c r="B69" s="1"/>
    </row>
    <row r="70" spans="1:2" x14ac:dyDescent="0.25">
      <c r="A70" s="11"/>
      <c r="B70" s="1"/>
    </row>
    <row r="71" spans="1:2" x14ac:dyDescent="0.25">
      <c r="A71" s="11"/>
      <c r="B71" s="1"/>
    </row>
    <row r="72" spans="1:2" x14ac:dyDescent="0.25">
      <c r="A72" s="11"/>
      <c r="B72" s="1"/>
    </row>
    <row r="73" spans="1:2" x14ac:dyDescent="0.25">
      <c r="A73" s="11"/>
      <c r="B73" s="1"/>
    </row>
    <row r="74" spans="1:2" x14ac:dyDescent="0.25">
      <c r="A74" s="11"/>
      <c r="B74" s="1"/>
    </row>
    <row r="75" spans="1:2" x14ac:dyDescent="0.25">
      <c r="A75" s="11"/>
      <c r="B75" s="1"/>
    </row>
    <row r="76" spans="1:2" x14ac:dyDescent="0.25">
      <c r="A76" s="11"/>
      <c r="B76" s="1"/>
    </row>
    <row r="77" spans="1:2" x14ac:dyDescent="0.25">
      <c r="A77" s="11"/>
      <c r="B77" s="1"/>
    </row>
    <row r="78" spans="1:2" x14ac:dyDescent="0.25">
      <c r="A78" s="11"/>
      <c r="B78" s="1"/>
    </row>
    <row r="79" spans="1:2" x14ac:dyDescent="0.25">
      <c r="A79" s="11"/>
      <c r="B79" s="1"/>
    </row>
    <row r="80" spans="1:2" x14ac:dyDescent="0.25">
      <c r="A80" s="11"/>
      <c r="B80" s="1"/>
    </row>
    <row r="81" spans="1:2" x14ac:dyDescent="0.25">
      <c r="A81" s="11"/>
      <c r="B81" s="1"/>
    </row>
    <row r="82" spans="1:2" x14ac:dyDescent="0.25">
      <c r="A82" s="11"/>
      <c r="B82" s="1"/>
    </row>
    <row r="83" spans="1:2" x14ac:dyDescent="0.25">
      <c r="A83" s="14"/>
      <c r="B83" s="1"/>
    </row>
    <row r="84" spans="1:2" x14ac:dyDescent="0.25">
      <c r="A84" s="11"/>
      <c r="B84" s="1"/>
    </row>
    <row r="85" spans="1:2" x14ac:dyDescent="0.25">
      <c r="A85" s="11"/>
      <c r="B85" s="1"/>
    </row>
    <row r="86" spans="1:2" x14ac:dyDescent="0.25">
      <c r="A86" s="11"/>
      <c r="B86" s="1"/>
    </row>
    <row r="87" spans="1:2" x14ac:dyDescent="0.25">
      <c r="A87" s="11"/>
      <c r="B87" s="1"/>
    </row>
    <row r="88" spans="1:2" x14ac:dyDescent="0.25">
      <c r="A88" s="11"/>
      <c r="B88" s="1"/>
    </row>
    <row r="89" spans="1:2" x14ac:dyDescent="0.25">
      <c r="A89" s="11"/>
      <c r="B89" s="1"/>
    </row>
    <row r="90" spans="1:2" x14ac:dyDescent="0.25">
      <c r="A90" s="11"/>
      <c r="B90" s="1"/>
    </row>
    <row r="91" spans="1:2" x14ac:dyDescent="0.25">
      <c r="A91" s="11"/>
      <c r="B91" s="1"/>
    </row>
    <row r="92" spans="1:2" x14ac:dyDescent="0.25">
      <c r="A92" s="11"/>
      <c r="B92" s="1"/>
    </row>
    <row r="93" spans="1:2" x14ac:dyDescent="0.25">
      <c r="A93" s="11"/>
      <c r="B93" s="1"/>
    </row>
    <row r="94" spans="1:2" x14ac:dyDescent="0.25">
      <c r="A94" s="11"/>
      <c r="B94" s="1"/>
    </row>
    <row r="95" spans="1:2" x14ac:dyDescent="0.25">
      <c r="A95" s="11"/>
      <c r="B95" s="1"/>
    </row>
    <row r="96" spans="1:2" x14ac:dyDescent="0.25">
      <c r="A96" s="11"/>
      <c r="B96" s="1"/>
    </row>
    <row r="97" spans="1:2" x14ac:dyDescent="0.25">
      <c r="A97" s="11"/>
      <c r="B97" s="1"/>
    </row>
    <row r="98" spans="1:2" x14ac:dyDescent="0.25">
      <c r="A98" s="11"/>
      <c r="B98" s="1"/>
    </row>
    <row r="99" spans="1:2" x14ac:dyDescent="0.25">
      <c r="A99" s="11"/>
      <c r="B99" s="1"/>
    </row>
    <row r="100" spans="1:2" x14ac:dyDescent="0.25">
      <c r="A100" s="11"/>
      <c r="B100" s="1"/>
    </row>
    <row r="101" spans="1:2" x14ac:dyDescent="0.25">
      <c r="A101" s="11"/>
      <c r="B101" s="1"/>
    </row>
    <row r="102" spans="1:2" x14ac:dyDescent="0.25">
      <c r="A102" s="11"/>
      <c r="B102" s="1"/>
    </row>
    <row r="103" spans="1:2" x14ac:dyDescent="0.25">
      <c r="A103" s="11"/>
      <c r="B103" s="1"/>
    </row>
    <row r="104" spans="1:2" x14ac:dyDescent="0.25">
      <c r="A104" s="11"/>
      <c r="B104" s="1"/>
    </row>
    <row r="105" spans="1:2" x14ac:dyDescent="0.25">
      <c r="A105" s="11"/>
      <c r="B105" s="1"/>
    </row>
    <row r="106" spans="1:2" x14ac:dyDescent="0.25">
      <c r="A106" s="11"/>
      <c r="B106" s="1"/>
    </row>
    <row r="107" spans="1:2" x14ac:dyDescent="0.25">
      <c r="A107" s="11"/>
      <c r="B107" s="1"/>
    </row>
    <row r="108" spans="1:2" x14ac:dyDescent="0.25">
      <c r="A108" s="11"/>
      <c r="B108" s="1"/>
    </row>
    <row r="109" spans="1:2" x14ac:dyDescent="0.25">
      <c r="A109" s="11"/>
      <c r="B109" s="1"/>
    </row>
    <row r="110" spans="1:2" x14ac:dyDescent="0.25">
      <c r="A110" s="11"/>
      <c r="B110" s="1"/>
    </row>
    <row r="111" spans="1:2" x14ac:dyDescent="0.25">
      <c r="A111" s="11"/>
      <c r="B111" s="1"/>
    </row>
    <row r="112" spans="1:2" x14ac:dyDescent="0.25">
      <c r="A112" s="11"/>
      <c r="B112" s="1"/>
    </row>
    <row r="113" spans="1:2" x14ac:dyDescent="0.25">
      <c r="A113" s="11"/>
      <c r="B113" s="1"/>
    </row>
    <row r="114" spans="1:2" x14ac:dyDescent="0.25">
      <c r="A114" s="11"/>
      <c r="B114" s="1"/>
    </row>
    <row r="115" spans="1:2" x14ac:dyDescent="0.25">
      <c r="A115" s="11"/>
      <c r="B115" s="1"/>
    </row>
    <row r="116" spans="1:2" x14ac:dyDescent="0.25">
      <c r="A116" s="11"/>
      <c r="B116" s="1"/>
    </row>
    <row r="117" spans="1:2" x14ac:dyDescent="0.25">
      <c r="A117" s="11"/>
      <c r="B117" s="1"/>
    </row>
    <row r="118" spans="1:2" x14ac:dyDescent="0.25">
      <c r="A118" s="11"/>
      <c r="B118" s="1"/>
    </row>
    <row r="119" spans="1:2" x14ac:dyDescent="0.25">
      <c r="A119" s="11"/>
      <c r="B119" s="1"/>
    </row>
    <row r="120" spans="1:2" x14ac:dyDescent="0.25">
      <c r="A120" s="11"/>
      <c r="B120" s="1"/>
    </row>
    <row r="121" spans="1:2" x14ac:dyDescent="0.25">
      <c r="A121" s="11"/>
      <c r="B121" s="1"/>
    </row>
    <row r="122" spans="1:2" x14ac:dyDescent="0.25">
      <c r="A122" s="11"/>
      <c r="B122" s="1"/>
    </row>
    <row r="123" spans="1:2" x14ac:dyDescent="0.25">
      <c r="A123" s="11"/>
      <c r="B123" s="1"/>
    </row>
    <row r="124" spans="1:2" x14ac:dyDescent="0.25">
      <c r="A124" s="11"/>
      <c r="B124" s="1"/>
    </row>
    <row r="125" spans="1:2" x14ac:dyDescent="0.25">
      <c r="A125" s="11"/>
      <c r="B125" s="1"/>
    </row>
    <row r="126" spans="1:2" x14ac:dyDescent="0.25">
      <c r="A126" s="11"/>
      <c r="B126" s="1"/>
    </row>
    <row r="127" spans="1:2" x14ac:dyDescent="0.25">
      <c r="A127" s="11"/>
    </row>
    <row r="128" spans="1:2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  <row r="834" spans="1:1" x14ac:dyDescent="0.25">
      <c r="A834" s="11"/>
    </row>
    <row r="835" spans="1:1" x14ac:dyDescent="0.25">
      <c r="A835" s="11"/>
    </row>
    <row r="836" spans="1:1" x14ac:dyDescent="0.25">
      <c r="A836" s="11"/>
    </row>
    <row r="837" spans="1:1" x14ac:dyDescent="0.25">
      <c r="A837" s="11"/>
    </row>
    <row r="838" spans="1:1" x14ac:dyDescent="0.25">
      <c r="A838" s="11"/>
    </row>
    <row r="839" spans="1:1" x14ac:dyDescent="0.25">
      <c r="A839" s="11"/>
    </row>
    <row r="840" spans="1:1" x14ac:dyDescent="0.25">
      <c r="A840" s="11"/>
    </row>
    <row r="841" spans="1:1" x14ac:dyDescent="0.25">
      <c r="A841" s="11"/>
    </row>
    <row r="842" spans="1:1" x14ac:dyDescent="0.25">
      <c r="A842" s="11"/>
    </row>
    <row r="843" spans="1:1" x14ac:dyDescent="0.25">
      <c r="A843" s="11"/>
    </row>
    <row r="844" spans="1:1" x14ac:dyDescent="0.25">
      <c r="A844" s="11"/>
    </row>
    <row r="845" spans="1:1" x14ac:dyDescent="0.25">
      <c r="A845" s="11"/>
    </row>
    <row r="846" spans="1:1" x14ac:dyDescent="0.25">
      <c r="A846" s="11"/>
    </row>
    <row r="847" spans="1:1" x14ac:dyDescent="0.25">
      <c r="A847" s="11"/>
    </row>
    <row r="848" spans="1:1" x14ac:dyDescent="0.25">
      <c r="A848" s="11"/>
    </row>
    <row r="849" spans="1:1" x14ac:dyDescent="0.25">
      <c r="A849" s="11"/>
    </row>
    <row r="850" spans="1:1" x14ac:dyDescent="0.25">
      <c r="A850" s="11"/>
    </row>
    <row r="851" spans="1:1" x14ac:dyDescent="0.25">
      <c r="A851" s="11"/>
    </row>
    <row r="852" spans="1:1" x14ac:dyDescent="0.25">
      <c r="A852" s="11"/>
    </row>
    <row r="853" spans="1:1" x14ac:dyDescent="0.25">
      <c r="A853" s="11"/>
    </row>
    <row r="854" spans="1:1" x14ac:dyDescent="0.25">
      <c r="A854" s="11"/>
    </row>
    <row r="855" spans="1:1" x14ac:dyDescent="0.25">
      <c r="A855" s="11"/>
    </row>
    <row r="856" spans="1:1" x14ac:dyDescent="0.25">
      <c r="A856" s="11"/>
    </row>
    <row r="857" spans="1:1" x14ac:dyDescent="0.25">
      <c r="A857" s="11"/>
    </row>
    <row r="858" spans="1:1" x14ac:dyDescent="0.25">
      <c r="A858" s="11"/>
    </row>
    <row r="859" spans="1:1" x14ac:dyDescent="0.25">
      <c r="A859" s="11"/>
    </row>
    <row r="860" spans="1:1" x14ac:dyDescent="0.25">
      <c r="A860" s="11"/>
    </row>
    <row r="861" spans="1:1" x14ac:dyDescent="0.25">
      <c r="A861" s="11"/>
    </row>
    <row r="862" spans="1:1" x14ac:dyDescent="0.25">
      <c r="A862" s="11"/>
    </row>
    <row r="863" spans="1:1" x14ac:dyDescent="0.25">
      <c r="A863" s="11"/>
    </row>
    <row r="864" spans="1:1" x14ac:dyDescent="0.25">
      <c r="A864" s="11"/>
    </row>
    <row r="865" spans="1:1" x14ac:dyDescent="0.25">
      <c r="A865" s="11"/>
    </row>
    <row r="866" spans="1:1" x14ac:dyDescent="0.25">
      <c r="A866" s="11"/>
    </row>
    <row r="867" spans="1:1" x14ac:dyDescent="0.25">
      <c r="A867" s="11"/>
    </row>
    <row r="868" spans="1:1" x14ac:dyDescent="0.25">
      <c r="A868" s="11"/>
    </row>
    <row r="869" spans="1:1" x14ac:dyDescent="0.25">
      <c r="A869" s="11"/>
    </row>
    <row r="870" spans="1:1" x14ac:dyDescent="0.25">
      <c r="A870" s="11"/>
    </row>
    <row r="871" spans="1:1" x14ac:dyDescent="0.25">
      <c r="A871" s="11"/>
    </row>
    <row r="872" spans="1:1" x14ac:dyDescent="0.25">
      <c r="A872" s="11"/>
    </row>
    <row r="873" spans="1:1" x14ac:dyDescent="0.25">
      <c r="A873" s="11"/>
    </row>
    <row r="874" spans="1:1" x14ac:dyDescent="0.25">
      <c r="A874" s="11"/>
    </row>
    <row r="875" spans="1:1" x14ac:dyDescent="0.25">
      <c r="A875" s="11"/>
    </row>
    <row r="876" spans="1:1" x14ac:dyDescent="0.25">
      <c r="A876" s="11"/>
    </row>
    <row r="877" spans="1:1" x14ac:dyDescent="0.25">
      <c r="A877" s="11"/>
    </row>
    <row r="878" spans="1:1" x14ac:dyDescent="0.25">
      <c r="A878" s="11"/>
    </row>
    <row r="879" spans="1:1" x14ac:dyDescent="0.25">
      <c r="A879" s="11"/>
    </row>
    <row r="880" spans="1:1" x14ac:dyDescent="0.25">
      <c r="A880" s="11"/>
    </row>
    <row r="881" spans="1:1" x14ac:dyDescent="0.25">
      <c r="A881" s="11"/>
    </row>
    <row r="882" spans="1:1" x14ac:dyDescent="0.25">
      <c r="A882" s="11"/>
    </row>
    <row r="883" spans="1:1" x14ac:dyDescent="0.25">
      <c r="A883" s="11"/>
    </row>
    <row r="884" spans="1:1" x14ac:dyDescent="0.25">
      <c r="A884" s="11"/>
    </row>
    <row r="885" spans="1:1" x14ac:dyDescent="0.25">
      <c r="A885" s="11"/>
    </row>
    <row r="886" spans="1:1" x14ac:dyDescent="0.25">
      <c r="A886" s="11"/>
    </row>
    <row r="887" spans="1:1" x14ac:dyDescent="0.25">
      <c r="A887" s="11"/>
    </row>
    <row r="888" spans="1:1" x14ac:dyDescent="0.25">
      <c r="A888" s="11"/>
    </row>
    <row r="889" spans="1:1" x14ac:dyDescent="0.25">
      <c r="A889" s="11"/>
    </row>
    <row r="890" spans="1:1" x14ac:dyDescent="0.25">
      <c r="A890" s="11"/>
    </row>
    <row r="891" spans="1:1" x14ac:dyDescent="0.25">
      <c r="A891" s="11"/>
    </row>
    <row r="892" spans="1:1" x14ac:dyDescent="0.25">
      <c r="A892" s="11"/>
    </row>
    <row r="893" spans="1:1" x14ac:dyDescent="0.25">
      <c r="A893" s="11"/>
    </row>
    <row r="894" spans="1:1" x14ac:dyDescent="0.25">
      <c r="A894" s="11"/>
    </row>
    <row r="895" spans="1:1" x14ac:dyDescent="0.25">
      <c r="A895" s="11"/>
    </row>
    <row r="896" spans="1:1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11"/>
    </row>
    <row r="930" spans="1:1" x14ac:dyDescent="0.25">
      <c r="A930" s="11"/>
    </row>
    <row r="931" spans="1:1" x14ac:dyDescent="0.25">
      <c r="A931" s="11"/>
    </row>
    <row r="932" spans="1:1" x14ac:dyDescent="0.25">
      <c r="A932" s="11"/>
    </row>
    <row r="933" spans="1:1" x14ac:dyDescent="0.25">
      <c r="A933" s="11"/>
    </row>
    <row r="934" spans="1:1" x14ac:dyDescent="0.25">
      <c r="A934" s="11"/>
    </row>
    <row r="935" spans="1:1" x14ac:dyDescent="0.25">
      <c r="A935" s="11"/>
    </row>
    <row r="936" spans="1:1" x14ac:dyDescent="0.25">
      <c r="A936" s="11"/>
    </row>
    <row r="937" spans="1:1" x14ac:dyDescent="0.25">
      <c r="A937" s="11"/>
    </row>
    <row r="938" spans="1:1" x14ac:dyDescent="0.25">
      <c r="A938" s="11"/>
    </row>
    <row r="939" spans="1:1" x14ac:dyDescent="0.25">
      <c r="A939" s="11"/>
    </row>
    <row r="940" spans="1:1" x14ac:dyDescent="0.25">
      <c r="A940" s="11"/>
    </row>
    <row r="941" spans="1:1" x14ac:dyDescent="0.25">
      <c r="A941" s="11"/>
    </row>
    <row r="942" spans="1:1" x14ac:dyDescent="0.25">
      <c r="A942" s="11"/>
    </row>
    <row r="943" spans="1:1" x14ac:dyDescent="0.25">
      <c r="A943" s="11"/>
    </row>
    <row r="944" spans="1:1" x14ac:dyDescent="0.25">
      <c r="A944" s="11"/>
    </row>
    <row r="945" spans="1:1" x14ac:dyDescent="0.25">
      <c r="A945" s="11"/>
    </row>
    <row r="946" spans="1:1" x14ac:dyDescent="0.25">
      <c r="A946" s="11"/>
    </row>
    <row r="947" spans="1:1" x14ac:dyDescent="0.25">
      <c r="A947" s="11"/>
    </row>
    <row r="948" spans="1:1" x14ac:dyDescent="0.25">
      <c r="A948" s="11"/>
    </row>
    <row r="949" spans="1:1" x14ac:dyDescent="0.25">
      <c r="A949" s="11"/>
    </row>
    <row r="950" spans="1:1" x14ac:dyDescent="0.25">
      <c r="A950" s="11"/>
    </row>
    <row r="951" spans="1:1" x14ac:dyDescent="0.25">
      <c r="A951" s="11"/>
    </row>
    <row r="952" spans="1:1" x14ac:dyDescent="0.25">
      <c r="A952" s="11"/>
    </row>
    <row r="953" spans="1:1" x14ac:dyDescent="0.25">
      <c r="A953" s="11"/>
    </row>
    <row r="954" spans="1:1" x14ac:dyDescent="0.25">
      <c r="A954" s="11"/>
    </row>
    <row r="955" spans="1:1" x14ac:dyDescent="0.25">
      <c r="A955" s="11"/>
    </row>
    <row r="956" spans="1:1" x14ac:dyDescent="0.25">
      <c r="A956" s="11"/>
    </row>
    <row r="957" spans="1:1" x14ac:dyDescent="0.25">
      <c r="A957" s="11"/>
    </row>
    <row r="958" spans="1:1" x14ac:dyDescent="0.25">
      <c r="A958" s="11"/>
    </row>
    <row r="959" spans="1:1" x14ac:dyDescent="0.25">
      <c r="A959" s="11"/>
    </row>
    <row r="960" spans="1:1" x14ac:dyDescent="0.25">
      <c r="A960" s="11"/>
    </row>
    <row r="961" spans="1:1" x14ac:dyDescent="0.25">
      <c r="A961" s="11"/>
    </row>
    <row r="962" spans="1:1" x14ac:dyDescent="0.25">
      <c r="A962" s="11"/>
    </row>
    <row r="963" spans="1:1" x14ac:dyDescent="0.25">
      <c r="A963" s="11"/>
    </row>
    <row r="964" spans="1:1" x14ac:dyDescent="0.25">
      <c r="A964" s="11"/>
    </row>
    <row r="965" spans="1:1" x14ac:dyDescent="0.25">
      <c r="A965" s="11"/>
    </row>
    <row r="966" spans="1:1" x14ac:dyDescent="0.25">
      <c r="A966" s="11"/>
    </row>
    <row r="967" spans="1:1" x14ac:dyDescent="0.25">
      <c r="A967" s="11"/>
    </row>
    <row r="968" spans="1:1" x14ac:dyDescent="0.25">
      <c r="A968" s="11"/>
    </row>
    <row r="969" spans="1:1" x14ac:dyDescent="0.25">
      <c r="A969" s="11"/>
    </row>
    <row r="970" spans="1:1" x14ac:dyDescent="0.25">
      <c r="A970" s="11"/>
    </row>
    <row r="971" spans="1:1" x14ac:dyDescent="0.25">
      <c r="A971" s="11"/>
    </row>
    <row r="972" spans="1:1" x14ac:dyDescent="0.25">
      <c r="A972" s="11"/>
    </row>
    <row r="973" spans="1:1" x14ac:dyDescent="0.25">
      <c r="A973" s="11"/>
    </row>
    <row r="974" spans="1:1" x14ac:dyDescent="0.25">
      <c r="A974" s="11"/>
    </row>
    <row r="975" spans="1:1" x14ac:dyDescent="0.25">
      <c r="A975" s="11"/>
    </row>
    <row r="976" spans="1:1" x14ac:dyDescent="0.25">
      <c r="A976" s="11"/>
    </row>
    <row r="977" spans="1:1" x14ac:dyDescent="0.25">
      <c r="A977" s="11"/>
    </row>
    <row r="978" spans="1:1" x14ac:dyDescent="0.25">
      <c r="A978" s="11"/>
    </row>
    <row r="979" spans="1:1" x14ac:dyDescent="0.25">
      <c r="A979" s="11"/>
    </row>
    <row r="980" spans="1:1" x14ac:dyDescent="0.25">
      <c r="A980" s="11"/>
    </row>
    <row r="981" spans="1:1" x14ac:dyDescent="0.25">
      <c r="A981" s="11"/>
    </row>
    <row r="982" spans="1:1" x14ac:dyDescent="0.25">
      <c r="A982" s="11"/>
    </row>
    <row r="983" spans="1:1" x14ac:dyDescent="0.25">
      <c r="A983" s="11"/>
    </row>
    <row r="984" spans="1:1" x14ac:dyDescent="0.25">
      <c r="A984" s="11"/>
    </row>
    <row r="985" spans="1:1" x14ac:dyDescent="0.25">
      <c r="A985" s="11"/>
    </row>
    <row r="986" spans="1:1" x14ac:dyDescent="0.25">
      <c r="A986" s="11"/>
    </row>
    <row r="987" spans="1:1" x14ac:dyDescent="0.25">
      <c r="A987" s="11"/>
    </row>
    <row r="988" spans="1:1" x14ac:dyDescent="0.25">
      <c r="A988" s="11"/>
    </row>
    <row r="989" spans="1:1" x14ac:dyDescent="0.25">
      <c r="A989" s="11"/>
    </row>
    <row r="990" spans="1:1" x14ac:dyDescent="0.25">
      <c r="A990" s="11"/>
    </row>
    <row r="991" spans="1:1" x14ac:dyDescent="0.25">
      <c r="A991" s="11"/>
    </row>
    <row r="992" spans="1:1" x14ac:dyDescent="0.25">
      <c r="A992" s="11"/>
    </row>
    <row r="993" spans="1:1" x14ac:dyDescent="0.25">
      <c r="A993" s="11"/>
    </row>
    <row r="994" spans="1:1" x14ac:dyDescent="0.25">
      <c r="A994" s="11"/>
    </row>
    <row r="995" spans="1:1" x14ac:dyDescent="0.25">
      <c r="A995" s="11"/>
    </row>
    <row r="996" spans="1:1" x14ac:dyDescent="0.25">
      <c r="A996" s="11"/>
    </row>
    <row r="997" spans="1:1" x14ac:dyDescent="0.25">
      <c r="A997" s="11"/>
    </row>
    <row r="998" spans="1:1" x14ac:dyDescent="0.25">
      <c r="A998" s="11"/>
    </row>
    <row r="999" spans="1:1" x14ac:dyDescent="0.25">
      <c r="A999" s="11"/>
    </row>
    <row r="1000" spans="1:1" x14ac:dyDescent="0.25">
      <c r="A1000" s="11"/>
    </row>
    <row r="1001" spans="1:1" x14ac:dyDescent="0.25">
      <c r="A1001" s="11"/>
    </row>
    <row r="1002" spans="1:1" x14ac:dyDescent="0.25">
      <c r="A1002" s="11"/>
    </row>
    <row r="1003" spans="1:1" x14ac:dyDescent="0.25">
      <c r="A1003" s="11"/>
    </row>
    <row r="1004" spans="1:1" x14ac:dyDescent="0.25">
      <c r="A1004" s="11"/>
    </row>
    <row r="1005" spans="1:1" x14ac:dyDescent="0.25">
      <c r="A1005" s="11"/>
    </row>
    <row r="1006" spans="1:1" x14ac:dyDescent="0.25">
      <c r="A1006" s="11"/>
    </row>
    <row r="1007" spans="1:1" x14ac:dyDescent="0.25">
      <c r="A1007" s="11"/>
    </row>
    <row r="1008" spans="1:1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</sheetData>
  <mergeCells count="1">
    <mergeCell ref="A1:L4"/>
  </mergeCells>
  <conditionalFormatting sqref="B6:B32">
    <cfRule type="duplicateValues" dxfId="2" priority="10"/>
  </conditionalFormatting>
  <conditionalFormatting sqref="D6:D32">
    <cfRule type="cellIs" dxfId="1" priority="9" operator="lessThan">
      <formula>25</formula>
    </cfRule>
  </conditionalFormatting>
  <conditionalFormatting sqref="E6:E32">
    <cfRule type="cellIs" dxfId="0" priority="8" operator="greaterThan">
      <formula>1500</formula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{456B46B1-BCF8-4654-BCF1-2FA77F3A7FC5}</x14:id>
        </ext>
      </extLst>
    </cfRule>
  </conditionalFormatting>
  <conditionalFormatting sqref="F6:F32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{5B26CD43-94E2-44AE-8032-A2A3FB941BA4}</x14:id>
        </ext>
      </extLst>
    </cfRule>
  </conditionalFormatting>
  <conditionalFormatting sqref="G6:G32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6:I32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{611B426A-BF08-458E-BB88-6B06D9F744A1}</x14:id>
        </ext>
      </extLst>
    </cfRule>
  </conditionalFormatting>
  <conditionalFormatting sqref="J6:J3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{5E3ED2E7-D2DB-4F89-B3C9-2448B49B3B7F}</x14:id>
        </ext>
      </extLst>
    </cfRule>
  </conditionalFormatting>
  <conditionalFormatting sqref="H6:H3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3">
    <dataValidation type="textLength" allowBlank="1" showInputMessage="1" showErrorMessage="1" errorTitle="Error" error="Please Input In 3-40 Char Only_x000a_" prompt="3-40 Char" sqref="B6:B32">
      <formula1>3</formula1>
      <formula2>40</formula2>
    </dataValidation>
    <dataValidation allowBlank="1" showInputMessage="1" showErrorMessage="1" error="Error message" prompt="SWIM10 To SWIM36" sqref="A6:A32"/>
    <dataValidation type="decimal" allowBlank="1" showInputMessage="1" showErrorMessage="1" error="Please Input In 5-60" prompt="All Decimal Number" sqref="D6:D32">
      <formula1>5</formula1>
      <formula2>60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6B46B1-BCF8-4654-BCF1-2FA77F3A7F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E6:E32</xm:sqref>
        </x14:conditionalFormatting>
        <x14:conditionalFormatting xmlns:xm="http://schemas.microsoft.com/office/excel/2006/main">
          <x14:cfRule type="dataBar" id="{5B26CD43-94E2-44AE-8032-A2A3FB941BA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F6:F32</xm:sqref>
        </x14:conditionalFormatting>
        <x14:conditionalFormatting xmlns:xm="http://schemas.microsoft.com/office/excel/2006/main">
          <x14:cfRule type="dataBar" id="{611B426A-BF08-458E-BB88-6B06D9F744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I6:I32</xm:sqref>
        </x14:conditionalFormatting>
        <x14:conditionalFormatting xmlns:xm="http://schemas.microsoft.com/office/excel/2006/main">
          <x14:cfRule type="dataBar" id="{5E3ED2E7-D2DB-4F89-B3C9-2448B49B3B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J6:J32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P4"/>
  <sheetViews>
    <sheetView tabSelected="1" showWhiteSpace="0" zoomScale="84" zoomScaleNormal="84" zoomScalePageLayoutView="75" workbookViewId="0">
      <selection activeCell="A4" sqref="A4:XFD4"/>
    </sheetView>
  </sheetViews>
  <sheetFormatPr defaultRowHeight="15" x14ac:dyDescent="0.25"/>
  <cols>
    <col min="1" max="1" width="30.5703125" style="19" customWidth="1"/>
    <col min="2" max="3" width="36.7109375" style="19" customWidth="1"/>
    <col min="4" max="4" width="41.7109375" style="19" customWidth="1"/>
    <col min="5" max="5" width="39.42578125" style="19" customWidth="1"/>
    <col min="6" max="6" width="14.7109375" style="19" customWidth="1"/>
    <col min="7" max="7" width="16.7109375" style="19" customWidth="1"/>
    <col min="8" max="8" width="22.7109375" style="19" customWidth="1"/>
    <col min="9" max="9" width="21.28515625" style="19" customWidth="1"/>
    <col min="10" max="10" width="22" style="19" customWidth="1"/>
    <col min="11" max="11" width="27.42578125" style="19" customWidth="1"/>
    <col min="12" max="12" width="18.85546875" style="19" customWidth="1"/>
    <col min="13" max="13" width="36.85546875" style="19" customWidth="1"/>
    <col min="14" max="14" width="31.85546875" style="19" customWidth="1"/>
    <col min="15" max="15" width="29.28515625" style="19" customWidth="1"/>
    <col min="16" max="16" width="25.140625" style="19" customWidth="1"/>
  </cols>
  <sheetData>
    <row r="2" spans="1:16" ht="24.75" customHeight="1" x14ac:dyDescent="0.25"/>
    <row r="3" spans="1:16" s="15" customFormat="1" ht="31.5" customHeight="1" x14ac:dyDescent="0.25">
      <c r="A3" s="15" t="s">
        <v>72</v>
      </c>
      <c r="B3" s="15" t="s">
        <v>73</v>
      </c>
      <c r="C3" s="15" t="s">
        <v>74</v>
      </c>
      <c r="D3" s="15" t="s">
        <v>78</v>
      </c>
      <c r="E3" s="15" t="s">
        <v>79</v>
      </c>
      <c r="F3" s="15" t="s">
        <v>75</v>
      </c>
      <c r="G3" s="15" t="s">
        <v>76</v>
      </c>
      <c r="H3" s="15" t="s">
        <v>77</v>
      </c>
      <c r="I3" s="15" t="s">
        <v>85</v>
      </c>
      <c r="J3" s="15" t="s">
        <v>80</v>
      </c>
      <c r="K3" s="15" t="s">
        <v>81</v>
      </c>
      <c r="L3" s="15" t="s">
        <v>82</v>
      </c>
      <c r="M3" s="15" t="s">
        <v>108</v>
      </c>
      <c r="N3" s="15" t="s">
        <v>109</v>
      </c>
      <c r="O3" s="15" t="s">
        <v>83</v>
      </c>
      <c r="P3" s="15" t="s">
        <v>84</v>
      </c>
    </row>
    <row r="4" spans="1:16" ht="18" customHeight="1" x14ac:dyDescent="0.25">
      <c r="P4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undedRectangle1_Click">
                <anchor mov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3</xdr:col>
                    <xdr:colOff>2743200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F13"/>
  <sheetViews>
    <sheetView workbookViewId="0">
      <selection activeCell="H18" sqref="H18"/>
    </sheetView>
  </sheetViews>
  <sheetFormatPr defaultRowHeight="15" x14ac:dyDescent="0.25"/>
  <cols>
    <col min="3" max="3" width="14" customWidth="1"/>
    <col min="4" max="4" width="14.42578125" customWidth="1"/>
    <col min="5" max="5" width="18.28515625" customWidth="1"/>
    <col min="6" max="6" width="36.28515625" customWidth="1"/>
  </cols>
  <sheetData>
    <row r="1" spans="3:6" x14ac:dyDescent="0.25">
      <c r="C1" t="s">
        <v>75</v>
      </c>
      <c r="D1" t="s">
        <v>77</v>
      </c>
      <c r="F1" t="s">
        <v>83</v>
      </c>
    </row>
    <row r="2" spans="3:6" x14ac:dyDescent="0.25">
      <c r="C2" t="s">
        <v>86</v>
      </c>
      <c r="D2" t="s">
        <v>88</v>
      </c>
      <c r="F2" t="s">
        <v>96</v>
      </c>
    </row>
    <row r="3" spans="3:6" x14ac:dyDescent="0.25">
      <c r="C3" t="s">
        <v>87</v>
      </c>
      <c r="D3" t="s">
        <v>89</v>
      </c>
      <c r="F3" t="s">
        <v>97</v>
      </c>
    </row>
    <row r="4" spans="3:6" x14ac:dyDescent="0.25">
      <c r="D4" t="s">
        <v>90</v>
      </c>
      <c r="F4" t="s">
        <v>98</v>
      </c>
    </row>
    <row r="5" spans="3:6" x14ac:dyDescent="0.25">
      <c r="D5" t="s">
        <v>91</v>
      </c>
      <c r="F5" t="s">
        <v>99</v>
      </c>
    </row>
    <row r="6" spans="3:6" x14ac:dyDescent="0.25">
      <c r="D6" t="s">
        <v>92</v>
      </c>
      <c r="F6" t="s">
        <v>100</v>
      </c>
    </row>
    <row r="7" spans="3:6" x14ac:dyDescent="0.25">
      <c r="D7" t="s">
        <v>93</v>
      </c>
      <c r="F7" t="s">
        <v>101</v>
      </c>
    </row>
    <row r="8" spans="3:6" x14ac:dyDescent="0.25">
      <c r="D8" t="s">
        <v>94</v>
      </c>
      <c r="F8" t="s">
        <v>102</v>
      </c>
    </row>
    <row r="9" spans="3:6" x14ac:dyDescent="0.25">
      <c r="D9" t="s">
        <v>95</v>
      </c>
      <c r="F9" t="s">
        <v>103</v>
      </c>
    </row>
    <row r="10" spans="3:6" x14ac:dyDescent="0.25">
      <c r="F10" t="s">
        <v>104</v>
      </c>
    </row>
    <row r="11" spans="3:6" x14ac:dyDescent="0.25">
      <c r="F11" t="s">
        <v>105</v>
      </c>
    </row>
    <row r="12" spans="3:6" x14ac:dyDescent="0.25">
      <c r="F12" t="s">
        <v>106</v>
      </c>
    </row>
    <row r="13" spans="3:6" x14ac:dyDescent="0.25">
      <c r="F13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Batch</vt:lpstr>
      <vt:lpstr>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Bejoy</dc:creator>
  <cp:lastModifiedBy>Bejoy</cp:lastModifiedBy>
  <dcterms:created xsi:type="dcterms:W3CDTF">2018-11-21T04:59:07Z</dcterms:created>
  <dcterms:modified xsi:type="dcterms:W3CDTF">2018-11-29T19:05:38Z</dcterms:modified>
</cp:coreProperties>
</file>